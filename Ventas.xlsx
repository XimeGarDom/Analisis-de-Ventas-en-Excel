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ximena.garcia\Downloads\"/>
    </mc:Choice>
  </mc:AlternateContent>
  <xr:revisionPtr revIDLastSave="0" documentId="13_ncr:1_{5F3748F7-A2BF-4A18-9AF6-EB1AEE333EFA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atos - Ventas" sheetId="1" r:id="rId1"/>
    <sheet name="TD - Ventas" sheetId="2" r:id="rId2"/>
    <sheet name="Informe " sheetId="3" r:id="rId3"/>
  </sheets>
  <definedNames>
    <definedName name="SegmentaciónDeDatos_Producto">#N/A</definedName>
    <definedName name="SegmentaciónDeDatos_Producto1">#N/A</definedName>
    <definedName name="SegmentaciónDeDatos_Producto2">#N/A</definedName>
    <definedName name="SegmentaciónDeDatos_Region">#N/A</definedName>
    <definedName name="SegmentaciónDeDatos_Region1">#N/A</definedName>
    <definedName name="SegmentaciónDeDatos_Vendedor">#N/A</definedName>
    <definedName name="SegmentaciónDeDatos_Vendedor1">#N/A</definedName>
  </definedNames>
  <calcPr calcId="191028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0"/>
        <x14:slicerCache r:id="rId11"/>
        <x14:slicerCache r:id="rId1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<sst xmlns="http://schemas.openxmlformats.org/spreadsheetml/2006/main" count="128" uniqueCount="24">
  <si>
    <t>Region</t>
  </si>
  <si>
    <t>Producto</t>
  </si>
  <si>
    <t>Vendedor</t>
  </si>
  <si>
    <t>Ventas</t>
  </si>
  <si>
    <t>Central</t>
  </si>
  <si>
    <t>Accesorios</t>
  </si>
  <si>
    <t>David</t>
  </si>
  <si>
    <t>Karen</t>
  </si>
  <si>
    <t>Dispositivos</t>
  </si>
  <si>
    <t>Sistemas</t>
  </si>
  <si>
    <t>Este</t>
  </si>
  <si>
    <t>Ana</t>
  </si>
  <si>
    <t>Lucas</t>
  </si>
  <si>
    <t>Oeste</t>
  </si>
  <si>
    <t>Kevin</t>
  </si>
  <si>
    <t>Sarah</t>
  </si>
  <si>
    <t>Total</t>
  </si>
  <si>
    <t>Etiquetas de fila</t>
  </si>
  <si>
    <t>Total general</t>
  </si>
  <si>
    <t>TD Ventas</t>
  </si>
  <si>
    <t>Suma de Ventas</t>
  </si>
  <si>
    <t>Etiquetas de columna</t>
  </si>
  <si>
    <t>Región</t>
  </si>
  <si>
    <t>Informe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</si>
</sst>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;\-&quot;$&quot;#,##0"/>
    <numFmt numFmtId="164" formatCode="#,##0_ ;\-#,##0\ "/>
    <numFmt numFmtId="165" formatCode="&quot;$&quot;#,##0"/>
  </numFmts>
  <fonts count="3" x14ac:knownFonts="1">
    <font>
      <sz val="11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color theme="1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5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5" formatCode="&quot;$&quot;#,##0"/>
    </dxf>
    <dxf>
      <numFmt numFmtId="9" formatCode="&quot;$&quot;#,##0;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microsoft.com/office/2007/relationships/slicerCache" Target="slicerCaches/slicerCache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2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5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[Ventas.xlsx]TD - Ventas!TablaDinámica1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'TD - Ventas'!$B$1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'TD - Ventas'!$A$2:$A$29</c:f>
              <c:multiLvlStrCache>
                <c:ptCount val="18"/>
                <c:lvl>
                  <c:pt idx="0">
                    <c:v>Accesorios</c:v>
                  </c:pt>
                  <c:pt idx="1">
                    <c:v>Dispositivos</c:v>
                  </c:pt>
                  <c:pt idx="2">
                    <c:v>Sistemas</c:v>
                  </c:pt>
                  <c:pt idx="3">
                    <c:v>Accesorios</c:v>
                  </c:pt>
                  <c:pt idx="4">
                    <c:v>Dispositivos</c:v>
                  </c:pt>
                  <c:pt idx="5">
                    <c:v>Sistemas</c:v>
                  </c:pt>
                  <c:pt idx="6">
                    <c:v>Accesorios</c:v>
                  </c:pt>
                  <c:pt idx="7">
                    <c:v>Dispositivos</c:v>
                  </c:pt>
                  <c:pt idx="8">
                    <c:v>Sistemas</c:v>
                  </c:pt>
                  <c:pt idx="9">
                    <c:v>Accesorios</c:v>
                  </c:pt>
                  <c:pt idx="10">
                    <c:v>Dispositivos</c:v>
                  </c:pt>
                  <c:pt idx="11">
                    <c:v>Sistemas</c:v>
                  </c:pt>
                  <c:pt idx="12">
                    <c:v>Accesorios</c:v>
                  </c:pt>
                  <c:pt idx="13">
                    <c:v>Dispositivos</c:v>
                  </c:pt>
                  <c:pt idx="14">
                    <c:v>Sistemas</c:v>
                  </c:pt>
                  <c:pt idx="15">
                    <c:v>Accesorios</c:v>
                  </c:pt>
                  <c:pt idx="16">
                    <c:v>Dispositivos</c:v>
                  </c:pt>
                  <c:pt idx="17">
                    <c:v>Sistemas</c:v>
                  </c:pt>
                </c:lvl>
                <c:lvl>
                  <c:pt idx="0">
                    <c:v>David</c:v>
                  </c:pt>
                  <c:pt idx="3">
                    <c:v>Karen</c:v>
                  </c:pt>
                  <c:pt idx="6">
                    <c:v>Ana</c:v>
                  </c:pt>
                  <c:pt idx="9">
                    <c:v>Lucas</c:v>
                  </c:pt>
                  <c:pt idx="12">
                    <c:v>Kevin</c:v>
                  </c:pt>
                  <c:pt idx="15">
                    <c:v>Sarah</c:v>
                  </c:pt>
                </c:lvl>
                <c:lvl>
                  <c:pt idx="0">
                    <c:v>Central</c:v>
                  </c:pt>
                  <c:pt idx="6">
                    <c:v>Este</c:v>
                  </c:pt>
                  <c:pt idx="12">
                    <c:v>Oeste</c:v>
                  </c:pt>
                </c:lvl>
              </c:multiLvlStrCache>
            </c:multiLvlStrRef>
          </c:cat>
          <c:val>
            <c:numRef>
              <c:f>'TD - Ventas'!$B$2:$B$29</c:f>
              <c:numCache>
                <c:formatCode>"$"#,##0_);\("$"#,##0\)</c:formatCode>
                <c:ptCount val="18"/>
                <c:pt idx="0">
                  <c:v>8287</c:v>
                </c:pt>
                <c:pt idx="1">
                  <c:v>11420</c:v>
                </c:pt>
                <c:pt idx="2">
                  <c:v>20098</c:v>
                </c:pt>
                <c:pt idx="3">
                  <c:v>6909</c:v>
                </c:pt>
                <c:pt idx="4">
                  <c:v>12948</c:v>
                </c:pt>
                <c:pt idx="5">
                  <c:v>30633</c:v>
                </c:pt>
                <c:pt idx="6">
                  <c:v>9323</c:v>
                </c:pt>
                <c:pt idx="7">
                  <c:v>10348</c:v>
                </c:pt>
                <c:pt idx="8">
                  <c:v>13531</c:v>
                </c:pt>
                <c:pt idx="9">
                  <c:v>7667</c:v>
                </c:pt>
                <c:pt idx="10">
                  <c:v>9312</c:v>
                </c:pt>
                <c:pt idx="11">
                  <c:v>13374</c:v>
                </c:pt>
                <c:pt idx="12">
                  <c:v>4744</c:v>
                </c:pt>
                <c:pt idx="13">
                  <c:v>10711</c:v>
                </c:pt>
                <c:pt idx="14">
                  <c:v>32855</c:v>
                </c:pt>
                <c:pt idx="15">
                  <c:v>5442</c:v>
                </c:pt>
                <c:pt idx="16">
                  <c:v>8780</c:v>
                </c:pt>
                <c:pt idx="17">
                  <c:v>23151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6-4B99-A230-6559C63BC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694991"/>
        <c:axId val="1639165439"/>
      </c:barChart>
      <c:catAx>
        <c:axId val="59669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9165439"/>
        <c:crosses val="autoZero"/>
        <c:auto val="1"/>
        <c:lblAlgn val="ctr"/>
        <c:lblOffset val="100"/>
        <c:noMultiLvlLbl val="0"/>
      </c:catAx>
      <c:valAx>
        <c:axId val="163916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669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[Ventas.xlsx]TD - Ventas!TablaDinámica3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'TD - Ventas'!$G$1:$G$2</c:f>
              <c:strCache>
                <c:ptCount val="1"/>
                <c:pt idx="0">
                  <c:v>Accesorios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'TD - Ventas'!$F$3:$F$12</c:f>
              <c:multiLvlStrCache>
                <c:ptCount val="6"/>
                <c:lvl>
                  <c:pt idx="0">
                    <c:v>David</c:v>
                  </c:pt>
                  <c:pt idx="1">
                    <c:v>Karen</c:v>
                  </c:pt>
                  <c:pt idx="2">
                    <c:v>Ana</c:v>
                  </c:pt>
                  <c:pt idx="3">
                    <c:v>Lucas</c:v>
                  </c:pt>
                  <c:pt idx="4">
                    <c:v>Kevin</c:v>
                  </c:pt>
                  <c:pt idx="5">
                    <c:v>Sarah</c:v>
                  </c:pt>
                </c:lvl>
                <c:lvl>
                  <c:pt idx="0">
                    <c:v>Central</c:v>
                  </c:pt>
                  <c:pt idx="2">
                    <c:v>Este</c:v>
                  </c:pt>
                  <c:pt idx="4">
                    <c:v>Oeste</c:v>
                  </c:pt>
                </c:lvl>
              </c:multiLvlStrCache>
            </c:multiLvlStrRef>
          </c:cat>
          <c:val>
            <c:numRef>
              <c:f>'TD - Ventas'!$G$3:$G$12</c:f>
              <c:numCache>
                <c:formatCode>"$"#,##0_);\("$"#,##0\)</c:formatCode>
                <c:ptCount val="6"/>
                <c:pt idx="0">
                  <c:v>8287</c:v>
                </c:pt>
                <c:pt idx="1">
                  <c:v>6909</c:v>
                </c:pt>
                <c:pt idx="2">
                  <c:v>9323</c:v>
                </c:pt>
                <c:pt idx="3">
                  <c:v>7667</c:v>
                </c:pt>
                <c:pt idx="4">
                  <c:v>4744</c:v>
                </c:pt>
                <c:pt idx="5">
                  <c:v>5442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9-4948-BA6C-BD882B95114E}"/>
            </c:ext>
          </c:extLst>
        </c:ser>
        <c:ser>
          <c:idx val="1"/>
          <c:order val="1"/>
          <c:tx>
            <c:strRef>
              <c:f>'TD - Ventas'!$H$1:$H$2</c:f>
              <c:strCache>
                <c:ptCount val="1"/>
                <c:pt idx="0">
                  <c:v>Dispositivos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'TD - Ventas'!$F$3:$F$12</c:f>
              <c:multiLvlStrCache>
                <c:ptCount val="6"/>
                <c:lvl>
                  <c:pt idx="0">
                    <c:v>David</c:v>
                  </c:pt>
                  <c:pt idx="1">
                    <c:v>Karen</c:v>
                  </c:pt>
                  <c:pt idx="2">
                    <c:v>Ana</c:v>
                  </c:pt>
                  <c:pt idx="3">
                    <c:v>Lucas</c:v>
                  </c:pt>
                  <c:pt idx="4">
                    <c:v>Kevin</c:v>
                  </c:pt>
                  <c:pt idx="5">
                    <c:v>Sarah</c:v>
                  </c:pt>
                </c:lvl>
                <c:lvl>
                  <c:pt idx="0">
                    <c:v>Central</c:v>
                  </c:pt>
                  <c:pt idx="2">
                    <c:v>Este</c:v>
                  </c:pt>
                  <c:pt idx="4">
                    <c:v>Oeste</c:v>
                  </c:pt>
                </c:lvl>
              </c:multiLvlStrCache>
            </c:multiLvlStrRef>
          </c:cat>
          <c:val>
            <c:numRef>
              <c:f>'TD - Ventas'!$H$3:$H$12</c:f>
              <c:numCache>
                <c:formatCode>"$"#,##0_);\("$"#,##0\)</c:formatCode>
                <c:ptCount val="6"/>
                <c:pt idx="0">
                  <c:v>11420</c:v>
                </c:pt>
                <c:pt idx="1">
                  <c:v>12948</c:v>
                </c:pt>
                <c:pt idx="2">
                  <c:v>10348</c:v>
                </c:pt>
                <c:pt idx="3">
                  <c:v>9312</c:v>
                </c:pt>
                <c:pt idx="4">
                  <c:v>10711</c:v>
                </c:pt>
                <c:pt idx="5">
                  <c:v>8780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27-4635-9C66-4D7D3AC135BF}"/>
            </c:ext>
          </c:extLst>
        </c:ser>
        <c:ser>
          <c:idx val="2"/>
          <c:order val="2"/>
          <c:tx>
            <c:strRef>
              <c:f>'TD - Ventas'!$I$1:$I$2</c:f>
              <c:strCache>
                <c:ptCount val="1"/>
                <c:pt idx="0">
                  <c:v>Sistemas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'TD - Ventas'!$F$3:$F$12</c:f>
              <c:multiLvlStrCache>
                <c:ptCount val="6"/>
                <c:lvl>
                  <c:pt idx="0">
                    <c:v>David</c:v>
                  </c:pt>
                  <c:pt idx="1">
                    <c:v>Karen</c:v>
                  </c:pt>
                  <c:pt idx="2">
                    <c:v>Ana</c:v>
                  </c:pt>
                  <c:pt idx="3">
                    <c:v>Lucas</c:v>
                  </c:pt>
                  <c:pt idx="4">
                    <c:v>Kevin</c:v>
                  </c:pt>
                  <c:pt idx="5">
                    <c:v>Sarah</c:v>
                  </c:pt>
                </c:lvl>
                <c:lvl>
                  <c:pt idx="0">
                    <c:v>Central</c:v>
                  </c:pt>
                  <c:pt idx="2">
                    <c:v>Este</c:v>
                  </c:pt>
                  <c:pt idx="4">
                    <c:v>Oeste</c:v>
                  </c:pt>
                </c:lvl>
              </c:multiLvlStrCache>
            </c:multiLvlStrRef>
          </c:cat>
          <c:val>
            <c:numRef>
              <c:f>'TD - Ventas'!$I$3:$I$12</c:f>
              <c:numCache>
                <c:formatCode>"$"#,##0_);\("$"#,##0\)</c:formatCode>
                <c:ptCount val="6"/>
                <c:pt idx="0">
                  <c:v>20098</c:v>
                </c:pt>
                <c:pt idx="1">
                  <c:v>30633</c:v>
                </c:pt>
                <c:pt idx="2">
                  <c:v>13531</c:v>
                </c:pt>
                <c:pt idx="3">
                  <c:v>13374</c:v>
                </c:pt>
                <c:pt idx="4">
                  <c:v>32855</c:v>
                </c:pt>
                <c:pt idx="5">
                  <c:v>23151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27-4635-9C66-4D7D3AC13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38697599"/>
        <c:axId val="738698079"/>
      </c:barChart>
      <c:catAx>
        <c:axId val="73869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8698079"/>
        <c:crosses val="autoZero"/>
        <c:auto val="1"/>
        <c:lblAlgn val="ctr"/>
        <c:lblOffset val="100"/>
        <c:noMultiLvlLbl val="0"/>
      </c:catAx>
      <c:valAx>
        <c:axId val="73869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869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[Ventas.xlsx]Informe 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60000"/>
                  <a:satMod val="100000"/>
                  <a:lumMod val="110000"/>
                </a:schemeClr>
              </a:gs>
              <a:gs pos="100000">
                <a:schemeClr val="accent1">
                  <a:tint val="70000"/>
                  <a:satMod val="100000"/>
                  <a:lumMod val="100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60000"/>
                  <a:satMod val="100000"/>
                  <a:lumMod val="110000"/>
                </a:schemeClr>
              </a:gs>
              <a:gs pos="100000">
                <a:schemeClr val="accent1">
                  <a:tint val="70000"/>
                  <a:satMod val="100000"/>
                  <a:lumMod val="100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tint val="60000"/>
                  <a:satMod val="100000"/>
                  <a:lumMod val="110000"/>
                </a:schemeClr>
              </a:gs>
              <a:gs pos="100000">
                <a:schemeClr val="accent1">
                  <a:tint val="70000"/>
                  <a:satMod val="100000"/>
                  <a:lumMod val="100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tint val="60000"/>
                  <a:satMod val="100000"/>
                  <a:lumMod val="110000"/>
                </a:schemeClr>
              </a:gs>
              <a:gs pos="100000">
                <a:schemeClr val="accent1">
                  <a:tint val="70000"/>
                  <a:satMod val="100000"/>
                  <a:lumMod val="100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'Informe '!$B$5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60000"/>
                      <a:satMod val="100000"/>
                      <a:lumMod val="110000"/>
                    </a:schemeClr>
                  </a:gs>
                  <a:gs pos="100000">
                    <a:schemeClr val="accent1">
                      <a:tint val="70000"/>
                      <a:satMod val="100000"/>
                      <a:lumMod val="100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02F-4EF5-82C2-9B504AE8944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60000"/>
                      <a:satMod val="100000"/>
                      <a:lumMod val="110000"/>
                    </a:schemeClr>
                  </a:gs>
                  <a:gs pos="100000">
                    <a:schemeClr val="accent2">
                      <a:tint val="70000"/>
                      <a:satMod val="100000"/>
                      <a:lumMod val="100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02F-4EF5-82C2-9B504AE8944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60000"/>
                      <a:satMod val="100000"/>
                      <a:lumMod val="110000"/>
                    </a:schemeClr>
                  </a:gs>
                  <a:gs pos="100000">
                    <a:schemeClr val="accent3">
                      <a:tint val="70000"/>
                      <a:satMod val="100000"/>
                      <a:lumMod val="100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02F-4EF5-82C2-9B504AE894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'Informe '!$A$6:$A$9</c:f>
              <c:strCache>
                <c:ptCount val="3"/>
                <c:pt idx="0">
                  <c:v>Central</c:v>
                </c:pt>
                <c:pt idx="1">
                  <c:v>Oeste</c:v>
                </c:pt>
                <c:pt idx="2">
                  <c:v>Este</c:v>
                </c:pt>
              </c:strCache>
            </c:strRef>
          </c:cat>
          <c:val>
            <c:numRef>
              <c:f>'Informe '!$B$6:$B$9</c:f>
              <c:numCache>
                <c:formatCode>"$"#,##0_);\("$"#,##0\)</c:formatCode>
                <c:ptCount val="3"/>
                <c:pt idx="0">
                  <c:v>90295</c:v>
                </c:pt>
                <c:pt idx="1">
                  <c:v>85683</c:v>
                </c:pt>
                <c:pt idx="2">
                  <c:v>63555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C-454D-ADAC-6D1C855A268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[Ventas.xlsx]Informe 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Productos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60000"/>
                  <a:satMod val="100000"/>
                  <a:lumMod val="110000"/>
                </a:schemeClr>
              </a:gs>
              <a:gs pos="100000">
                <a:schemeClr val="accent1">
                  <a:tint val="70000"/>
                  <a:satMod val="100000"/>
                  <a:lumMod val="100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60000"/>
                  <a:satMod val="100000"/>
                  <a:lumMod val="110000"/>
                </a:schemeClr>
              </a:gs>
              <a:gs pos="100000">
                <a:schemeClr val="accent1">
                  <a:tint val="70000"/>
                  <a:satMod val="100000"/>
                  <a:lumMod val="100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tint val="60000"/>
                  <a:satMod val="100000"/>
                  <a:lumMod val="110000"/>
                </a:schemeClr>
              </a:gs>
              <a:gs pos="100000">
                <a:schemeClr val="accent1">
                  <a:tint val="70000"/>
                  <a:satMod val="100000"/>
                  <a:lumMod val="100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tint val="60000"/>
                  <a:satMod val="100000"/>
                  <a:lumMod val="110000"/>
                </a:schemeClr>
              </a:gs>
              <a:gs pos="100000">
                <a:schemeClr val="accent1">
                  <a:tint val="70000"/>
                  <a:satMod val="100000"/>
                  <a:lumMod val="100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'Informe '!$B$11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60000"/>
                      <a:satMod val="100000"/>
                      <a:lumMod val="110000"/>
                    </a:schemeClr>
                  </a:gs>
                  <a:gs pos="100000">
                    <a:schemeClr val="accent1">
                      <a:tint val="70000"/>
                      <a:satMod val="100000"/>
                      <a:lumMod val="100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2A-4ACE-81A3-350FFE1BFB7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60000"/>
                      <a:satMod val="100000"/>
                      <a:lumMod val="110000"/>
                    </a:schemeClr>
                  </a:gs>
                  <a:gs pos="100000">
                    <a:schemeClr val="accent2">
                      <a:tint val="70000"/>
                      <a:satMod val="100000"/>
                      <a:lumMod val="100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2A-4ACE-81A3-350FFE1BFB7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60000"/>
                      <a:satMod val="100000"/>
                      <a:lumMod val="110000"/>
                    </a:schemeClr>
                  </a:gs>
                  <a:gs pos="100000">
                    <a:schemeClr val="accent3">
                      <a:tint val="70000"/>
                      <a:satMod val="100000"/>
                      <a:lumMod val="100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02A-4ACE-81A3-350FFE1BFB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'Informe '!$A$12:$A$15</c:f>
              <c:strCache>
                <c:ptCount val="3"/>
                <c:pt idx="0">
                  <c:v>Sistemas</c:v>
                </c:pt>
                <c:pt idx="1">
                  <c:v>Dispositivos</c:v>
                </c:pt>
                <c:pt idx="2">
                  <c:v>Accesorios</c:v>
                </c:pt>
              </c:strCache>
            </c:strRef>
          </c:cat>
          <c:val>
            <c:numRef>
              <c:f>'Informe '!$B$12:$B$15</c:f>
              <c:numCache>
                <c:formatCode>"$"#,##0_);\("$"#,##0\)</c:formatCode>
                <c:ptCount val="3"/>
                <c:pt idx="0">
                  <c:v>133642</c:v>
                </c:pt>
                <c:pt idx="1">
                  <c:v>63519</c:v>
                </c:pt>
                <c:pt idx="2">
                  <c:v>42372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3-49EE-8F31-4105DE032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[Ventas.xlsx]Informe !TablaDinámica4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Ventas por Operador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60000"/>
                  <a:satMod val="100000"/>
                  <a:lumMod val="110000"/>
                </a:schemeClr>
              </a:gs>
              <a:gs pos="100000">
                <a:schemeClr val="accent1">
                  <a:tint val="70000"/>
                  <a:satMod val="100000"/>
                  <a:lumMod val="100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'Informe '!$B$17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0000"/>
                    <a:satMod val="100000"/>
                    <a:lumMod val="110000"/>
                  </a:schemeClr>
                </a:gs>
                <a:gs pos="100000">
                  <a:schemeClr val="accent1">
                    <a:tint val="70000"/>
                    <a:satMod val="100000"/>
                    <a:lumMod val="100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'Informe '!$A$18:$A$24</c:f>
              <c:strCache>
                <c:ptCount val="6"/>
                <c:pt idx="0">
                  <c:v>Karen</c:v>
                </c:pt>
                <c:pt idx="1">
                  <c:v>Kevin</c:v>
                </c:pt>
                <c:pt idx="2">
                  <c:v>David</c:v>
                </c:pt>
                <c:pt idx="3">
                  <c:v>Sarah</c:v>
                </c:pt>
                <c:pt idx="4">
                  <c:v>Ana</c:v>
                </c:pt>
                <c:pt idx="5">
                  <c:v>Lucas</c:v>
                </c:pt>
              </c:strCache>
            </c:strRef>
          </c:cat>
          <c:val>
            <c:numRef>
              <c:f>'Informe '!$B$18:$B$24</c:f>
              <c:numCache>
                <c:formatCode>"$"#,##0_);\("$"#,##0\)</c:formatCode>
                <c:ptCount val="6"/>
                <c:pt idx="0">
                  <c:v>50490</c:v>
                </c:pt>
                <c:pt idx="1">
                  <c:v>48310</c:v>
                </c:pt>
                <c:pt idx="2">
                  <c:v>39805</c:v>
                </c:pt>
                <c:pt idx="3">
                  <c:v>37373</c:v>
                </c:pt>
                <c:pt idx="4">
                  <c:v>33202</c:v>
                </c:pt>
                <c:pt idx="5">
                  <c:v>30353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B-48C2-B9E7-977F2C6ECF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29131423"/>
        <c:axId val="2029131903"/>
      </c:barChart>
      <c:catAx>
        <c:axId val="202913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29131903"/>
        <c:crosses val="autoZero"/>
        <c:auto val="1"/>
        <c:lblAlgn val="ctr"/>
        <c:lblOffset val="100"/>
        <c:noMultiLvlLbl val="0"/>
      </c:catAx>
      <c:valAx>
        <c:axId val="202913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2913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203789</xdr:colOff>
      <xdr:row>0</xdr:row>
      <xdr:rowOff>13422</xdr:rowOff>
    </xdr:from>
    <xdr:to>
      <xdr:col>7</xdr:col>
      <xdr:colOff>212692</xdr:colOff>
      <xdr:row>6</xdr:row>
      <xdr:rowOff>117836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5017330B-94A5-0001-F69A-2BE03A629F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3325" y="13422"/>
              <a:ext cx="1828800" cy="12042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204705</xdr:colOff>
      <xdr:row>6</xdr:row>
      <xdr:rowOff>151812</xdr:rowOff>
    </xdr:from>
    <xdr:to>
      <xdr:col>7</xdr:col>
      <xdr:colOff>213608</xdr:colOff>
      <xdr:row>13</xdr:row>
      <xdr:rowOff>72011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Producto">
              <a:extLst>
                <a:ext uri="{FF2B5EF4-FFF2-40B4-BE49-F238E27FC236}">
                  <a16:creationId xmlns:a16="http://schemas.microsoft.com/office/drawing/2014/main" id="{9ECD13B3-DD11-14B0-AEB7-34E7CBF1D8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4241" y="1251606"/>
              <a:ext cx="1828800" cy="12032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203069</xdr:colOff>
      <xdr:row>13</xdr:row>
      <xdr:rowOff>123988</xdr:rowOff>
    </xdr:from>
    <xdr:to>
      <xdr:col>7</xdr:col>
      <xdr:colOff>211972</xdr:colOff>
      <xdr:row>20</xdr:row>
      <xdr:rowOff>6547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Vendedor">
              <a:extLst>
                <a:ext uri="{FF2B5EF4-FFF2-40B4-BE49-F238E27FC236}">
                  <a16:creationId xmlns:a16="http://schemas.microsoft.com/office/drawing/2014/main" id="{38EBD0CF-ECA8-E2DD-2C16-187DB01B6A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2605" y="2506875"/>
              <a:ext cx="1828800" cy="11656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107950</xdr:colOff>
      <xdr:row>0</xdr:row>
      <xdr:rowOff>0</xdr:rowOff>
    </xdr:from>
    <xdr:to>
      <xdr:col>4</xdr:col>
      <xdr:colOff>458503</xdr:colOff>
      <xdr:row>8</xdr:row>
      <xdr:rowOff>12699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ducto 1">
              <a:extLst>
                <a:ext uri="{FF2B5EF4-FFF2-40B4-BE49-F238E27FC236}">
                  <a16:creationId xmlns:a16="http://schemas.microsoft.com/office/drawing/2014/main" id="{DE5603FA-96FC-0816-1508-C0EEF87DF3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7550" y="63500"/>
              <a:ext cx="1828800" cy="14858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50475</xdr:colOff>
      <xdr:row>13</xdr:row>
      <xdr:rowOff>36797</xdr:rowOff>
    </xdr:from>
    <xdr:to>
      <xdr:col>6</xdr:col>
      <xdr:colOff>1219526</xdr:colOff>
      <xdr:row>27</xdr:row>
      <xdr:rowOff>158587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55FFC3-A4EA-17DA-7EDB-3AF25B29B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1442589</xdr:colOff>
      <xdr:row>13</xdr:row>
      <xdr:rowOff>28656</xdr:rowOff>
    </xdr:from>
    <xdr:to>
      <xdr:col>12</xdr:col>
      <xdr:colOff>763628</xdr:colOff>
      <xdr:row>27</xdr:row>
      <xdr:rowOff>150446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60311B0-C30A-244D-2608-3034118E8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12700</xdr:colOff>
      <xdr:row>3</xdr:row>
      <xdr:rowOff>171451</xdr:rowOff>
    </xdr:from>
    <xdr:to>
      <xdr:col>14</xdr:col>
      <xdr:colOff>12700</xdr:colOff>
      <xdr:row>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 1">
              <a:extLst>
                <a:ext uri="{FF2B5EF4-FFF2-40B4-BE49-F238E27FC236}">
                  <a16:creationId xmlns:a16="http://schemas.microsoft.com/office/drawing/2014/main" id="{7FFCF562-64D8-55D9-942E-0F8732AA46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13750" y="723901"/>
              <a:ext cx="1625600" cy="9334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292100</xdr:colOff>
      <xdr:row>9</xdr:row>
      <xdr:rowOff>177801</xdr:rowOff>
    </xdr:from>
    <xdr:to>
      <xdr:col>13</xdr:col>
      <xdr:colOff>800100</xdr:colOff>
      <xdr:row>15</xdr:row>
      <xdr:rowOff>12700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cto 2">
              <a:extLst>
                <a:ext uri="{FF2B5EF4-FFF2-40B4-BE49-F238E27FC236}">
                  <a16:creationId xmlns:a16="http://schemas.microsoft.com/office/drawing/2014/main" id="{8E3B416E-6C27-4AEB-3191-164F1E9CE7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94700" y="1835151"/>
              <a:ext cx="1619250" cy="9397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6350</xdr:colOff>
      <xdr:row>15</xdr:row>
      <xdr:rowOff>158750</xdr:rowOff>
    </xdr:from>
    <xdr:to>
      <xdr:col>13</xdr:col>
      <xdr:colOff>800100</xdr:colOff>
      <xdr:row>23</xdr:row>
      <xdr:rowOff>171449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Vendedor 1">
              <a:extLst>
                <a:ext uri="{FF2B5EF4-FFF2-40B4-BE49-F238E27FC236}">
                  <a16:creationId xmlns:a16="http://schemas.microsoft.com/office/drawing/2014/main" id="{B558E3C8-8F25-E3F2-4604-6C578E5009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07400" y="2921000"/>
              <a:ext cx="1606550" cy="14858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330200</xdr:colOff>
      <xdr:row>4</xdr:row>
      <xdr:rowOff>0</xdr:rowOff>
    </xdr:from>
    <xdr:to>
      <xdr:col>6</xdr:col>
      <xdr:colOff>520700</xdr:colOff>
      <xdr:row>14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FA7B136-7F71-1755-B7AF-5A92B35E0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12700</xdr:colOff>
      <xdr:row>3</xdr:row>
      <xdr:rowOff>165100</xdr:rowOff>
    </xdr:from>
    <xdr:to>
      <xdr:col>11</xdr:col>
      <xdr:colOff>12700</xdr:colOff>
      <xdr:row>14</xdr:row>
      <xdr:rowOff>12700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0F6DD6B-C862-CB8A-A279-7C3144431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317500</xdr:colOff>
      <xdr:row>14</xdr:row>
      <xdr:rowOff>69850</xdr:rowOff>
    </xdr:from>
    <xdr:to>
      <xdr:col>11</xdr:col>
      <xdr:colOff>0</xdr:colOff>
      <xdr:row>24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291F113-C578-277E-4872-FC76A7797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CIA DOMINGUEZ XIMENA" refreshedDate="46006.773570949073" createdVersion="8" refreshedVersion="8" minRefreshableVersion="3" recordCount="18" xr:uid="{DD8985F0-BFB2-4A77-880A-9F4AB779F136}">
  <cacheSource type="worksheet">
    <worksheetSource name="TablaVentas"/>
  </cacheSource>
  <cacheFields count="4">
    <cacheField name="Region" numFmtId="0">
      <sharedItems count="3">
        <s v="Oeste"/>
        <s v="Este"/>
        <s v="Central"/>
      </sharedItems>
    </cacheField>
    <cacheField name="Producto" numFmtId="0">
      <sharedItems count="3">
        <s v="Accesorios"/>
        <s v="Dispositivos"/>
        <s v="Sistemas"/>
      </sharedItems>
    </cacheField>
    <cacheField name="Vendedor" numFmtId="0">
      <sharedItems count="6">
        <s v="Kevin"/>
        <s v="Sarah"/>
        <s v="Ana"/>
        <s v="Lucas"/>
        <s v="David"/>
        <s v="Karen"/>
      </sharedItems>
    </cacheField>
    <cacheField name="Ventas" numFmtId="5">
      <sharedItems containsSemiMixedTypes="0" containsString="0" containsNumber="1" containsInteger="1" minValue="4744" maxValue="32855"/>
    </cacheField>
  </cacheFields>
  <extLst>
    <ext xmlns:x14="http://schemas.microsoft.com/office/spreadsheetml/2009/9/main" uri="{725AE2AE-9491-48be-B2B4-4EB974FC3084}">
      <x14:pivotCacheDefinition pivotCacheId="28131518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CIA DOMINGUEZ XIMENA" refreshedDate="46007.750752662039" createdVersion="8" refreshedVersion="8" minRefreshableVersion="3" recordCount="18" xr:uid="{57244205-5C90-4428-9035-9AB097A3983D}">
  <cacheSource type="worksheet">
    <worksheetSource name="TablaVentas"/>
  </cacheSource>
  <cacheFields count="4">
    <cacheField name="Region" numFmtId="0">
      <sharedItems count="3">
        <s v="Oeste"/>
        <s v="Este"/>
        <s v="Central"/>
      </sharedItems>
    </cacheField>
    <cacheField name="Producto" numFmtId="0">
      <sharedItems count="3">
        <s v="Accesorios"/>
        <s v="Dispositivos"/>
        <s v="Sistemas"/>
      </sharedItems>
    </cacheField>
    <cacheField name="Vendedor" numFmtId="0">
      <sharedItems count="6">
        <s v="Kevin"/>
        <s v="Sarah"/>
        <s v="Ana"/>
        <s v="Lucas"/>
        <s v="David"/>
        <s v="Karen"/>
      </sharedItems>
    </cacheField>
    <cacheField name="Ventas" numFmtId="5">
      <sharedItems containsSemiMixedTypes="0" containsString="0" containsNumber="1" containsInteger="1" minValue="4744" maxValue="32855"/>
    </cacheField>
  </cacheFields>
  <extLst>
    <ext xmlns:x14="http://schemas.microsoft.com/office/spreadsheetml/2009/9/main" uri="{725AE2AE-9491-48be-B2B4-4EB974FC3084}">
      <x14:pivotCacheDefinition pivotCacheId="885703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n v="4744"/>
  </r>
  <r>
    <x v="0"/>
    <x v="0"/>
    <x v="1"/>
    <n v="5442"/>
  </r>
  <r>
    <x v="0"/>
    <x v="1"/>
    <x v="0"/>
    <n v="10711"/>
  </r>
  <r>
    <x v="0"/>
    <x v="1"/>
    <x v="1"/>
    <n v="8780"/>
  </r>
  <r>
    <x v="0"/>
    <x v="2"/>
    <x v="0"/>
    <n v="32855"/>
  </r>
  <r>
    <x v="0"/>
    <x v="2"/>
    <x v="1"/>
    <n v="23151"/>
  </r>
  <r>
    <x v="1"/>
    <x v="0"/>
    <x v="2"/>
    <n v="9323"/>
  </r>
  <r>
    <x v="1"/>
    <x v="0"/>
    <x v="3"/>
    <n v="7667"/>
  </r>
  <r>
    <x v="1"/>
    <x v="1"/>
    <x v="2"/>
    <n v="10348"/>
  </r>
  <r>
    <x v="1"/>
    <x v="1"/>
    <x v="3"/>
    <n v="9312"/>
  </r>
  <r>
    <x v="1"/>
    <x v="2"/>
    <x v="2"/>
    <n v="13531"/>
  </r>
  <r>
    <x v="1"/>
    <x v="2"/>
    <x v="3"/>
    <n v="13374"/>
  </r>
  <r>
    <x v="2"/>
    <x v="0"/>
    <x v="4"/>
    <n v="8287"/>
  </r>
  <r>
    <x v="2"/>
    <x v="0"/>
    <x v="5"/>
    <n v="6909"/>
  </r>
  <r>
    <x v="2"/>
    <x v="1"/>
    <x v="4"/>
    <n v="11420"/>
  </r>
  <r>
    <x v="2"/>
    <x v="1"/>
    <x v="5"/>
    <n v="12948"/>
  </r>
  <r>
    <x v="2"/>
    <x v="2"/>
    <x v="4"/>
    <n v="20098"/>
  </r>
  <r>
    <x v="2"/>
    <x v="2"/>
    <x v="5"/>
    <n v="306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n v="4744"/>
  </r>
  <r>
    <x v="0"/>
    <x v="0"/>
    <x v="1"/>
    <n v="5442"/>
  </r>
  <r>
    <x v="0"/>
    <x v="1"/>
    <x v="0"/>
    <n v="10711"/>
  </r>
  <r>
    <x v="0"/>
    <x v="1"/>
    <x v="1"/>
    <n v="8780"/>
  </r>
  <r>
    <x v="0"/>
    <x v="2"/>
    <x v="0"/>
    <n v="32855"/>
  </r>
  <r>
    <x v="0"/>
    <x v="2"/>
    <x v="1"/>
    <n v="23151"/>
  </r>
  <r>
    <x v="1"/>
    <x v="0"/>
    <x v="2"/>
    <n v="9323"/>
  </r>
  <r>
    <x v="1"/>
    <x v="0"/>
    <x v="3"/>
    <n v="7667"/>
  </r>
  <r>
    <x v="1"/>
    <x v="1"/>
    <x v="2"/>
    <n v="10348"/>
  </r>
  <r>
    <x v="1"/>
    <x v="1"/>
    <x v="3"/>
    <n v="9312"/>
  </r>
  <r>
    <x v="1"/>
    <x v="2"/>
    <x v="2"/>
    <n v="13531"/>
  </r>
  <r>
    <x v="1"/>
    <x v="2"/>
    <x v="3"/>
    <n v="13374"/>
  </r>
  <r>
    <x v="2"/>
    <x v="0"/>
    <x v="4"/>
    <n v="8287"/>
  </r>
  <r>
    <x v="2"/>
    <x v="0"/>
    <x v="5"/>
    <n v="6909"/>
  </r>
  <r>
    <x v="2"/>
    <x v="1"/>
    <x v="4"/>
    <n v="11420"/>
  </r>
  <r>
    <x v="2"/>
    <x v="1"/>
    <x v="5"/>
    <n v="12948"/>
  </r>
  <r>
    <x v="2"/>
    <x v="2"/>
    <x v="4"/>
    <n v="20098"/>
  </r>
  <r>
    <x v="2"/>
    <x v="2"/>
    <x v="5"/>
    <n v="306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2A1FC-826E-49E7-9258-3BC193713EC8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F1:J12" firstHeaderRow="1" firstDataRow="2" firstDataCol="1"/>
  <pivotFields count="4">
    <pivotField axis="axisRow" showAll="0">
      <items count="4">
        <item x="2"/>
        <item x="1"/>
        <item x="0"/>
        <item t="default"/>
      </items>
    </pivotField>
    <pivotField name="TD Ventas 2" axis="axisCol" multipleItemSelectionAllowed="1" showAll="0">
      <items count="4">
        <item x="0"/>
        <item x="1"/>
        <item x="2"/>
        <item t="default"/>
      </items>
    </pivotField>
    <pivotField axis="axisRow" showAll="0">
      <items count="7">
        <item x="2"/>
        <item x="4"/>
        <item x="5"/>
        <item x="0"/>
        <item x="3"/>
        <item x="1"/>
        <item t="default"/>
      </items>
    </pivotField>
    <pivotField dataField="1" numFmtId="5" showAll="0"/>
  </pivotFields>
  <rowFields count="2">
    <field x="0"/>
    <field x="2"/>
  </rowFields>
  <rowItems count="10">
    <i>
      <x/>
    </i>
    <i r="1">
      <x v="1"/>
    </i>
    <i r="1">
      <x v="2"/>
    </i>
    <i>
      <x v="1"/>
    </i>
    <i r="1">
      <x/>
    </i>
    <i r="1">
      <x v="4"/>
    </i>
    <i>
      <x v="2"/>
    </i>
    <i r="1">
      <x v="3"/>
    </i>
    <i r="1"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D Ventas" fld="3" baseField="0" baseItem="0" numFmtId="5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0F509-A8D3-459C-A538-071E9CE603E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29" firstHeaderRow="1" firstDataRow="1" firstDataCol="1"/>
  <pivotFields count="4">
    <pivotField axis="axisRow" showAll="0">
      <items count="4">
        <item x="2"/>
        <item x="1"/>
        <item x="0"/>
        <item t="default"/>
      </items>
    </pivotField>
    <pivotField axis="axisRow" multipleItemSelectionAllowed="1" showAll="0">
      <items count="4">
        <item x="0"/>
        <item x="1"/>
        <item x="2"/>
        <item t="default"/>
      </items>
    </pivotField>
    <pivotField axis="axisRow" showAll="0">
      <items count="7">
        <item x="2"/>
        <item x="4"/>
        <item x="5"/>
        <item x="0"/>
        <item x="3"/>
        <item x="1"/>
        <item t="default"/>
      </items>
    </pivotField>
    <pivotField dataField="1" numFmtId="5" showAll="0"/>
  </pivotFields>
  <rowFields count="3">
    <field x="0"/>
    <field x="2"/>
    <field x="1"/>
  </rowFields>
  <rowItems count="28">
    <i>
      <x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>
      <x v="2"/>
    </i>
    <i r="1">
      <x v="3"/>
    </i>
    <i r="2">
      <x/>
    </i>
    <i r="2">
      <x v="1"/>
    </i>
    <i r="2">
      <x v="2"/>
    </i>
    <i r="1">
      <x v="5"/>
    </i>
    <i r="2">
      <x/>
    </i>
    <i r="2">
      <x v="1"/>
    </i>
    <i r="2">
      <x v="2"/>
    </i>
    <i t="grand">
      <x/>
    </i>
  </rowItems>
  <colItems count="1">
    <i/>
  </colItems>
  <dataFields count="1">
    <dataField name="TD Ventas" fld="3" baseField="0" baseItem="0" numFmtId="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44F2A-2A5D-486B-A794-3D1A5BCA8819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Vendedor">
  <location ref="A17:B24" firstHeaderRow="1" firstDataRow="1" firstDataCol="1"/>
  <pivotFields count="4">
    <pivotField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axis="axisRow" showAll="0" sortType="descending">
      <items count="7">
        <item x="2"/>
        <item x="4"/>
        <item x="5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5" showAll="0"/>
  </pivotFields>
  <rowFields count="1">
    <field x="2"/>
  </rowFields>
  <rowItems count="7">
    <i>
      <x v="2"/>
    </i>
    <i>
      <x v="3"/>
    </i>
    <i>
      <x v="1"/>
    </i>
    <i>
      <x v="5"/>
    </i>
    <i>
      <x/>
    </i>
    <i>
      <x v="4"/>
    </i>
    <i t="grand">
      <x/>
    </i>
  </rowItems>
  <colItems count="1">
    <i/>
  </colItems>
  <dataFields count="1">
    <dataField name="Suma de Ventas" fld="3" baseField="0" baseItem="0" numFmtId="5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2E95B-04C9-4D27-94BB-3EB1BF3B4222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Producto">
  <location ref="A11:B15" firstHeaderRow="1" firstDataRow="1" firstDataCol="1"/>
  <pivotFields count="4">
    <pivotField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2"/>
        <item x="4"/>
        <item x="5"/>
        <item x="0"/>
        <item x="3"/>
        <item x="1"/>
        <item t="default"/>
      </items>
    </pivotField>
    <pivotField dataField="1" numFmtId="5" showAll="0"/>
  </pivotFields>
  <rowFields count="1">
    <field x="1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a de Ventas" fld="3" baseField="0" baseItem="0" numFmtId="5"/>
  </dataField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3">
              <x v="0"/>
              <x v="1"/>
              <x v="2"/>
            </reference>
          </references>
        </pivotArea>
      </pivotAreas>
    </conditionalFormat>
  </conditional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Medium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51ABA-7D00-4FBB-8DE5-6F439FCBD354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Región">
  <location ref="A5:B9" firstHeaderRow="1" firstDataRow="1" firstDataCol="1"/>
  <pivotFields count="4"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>
      <items count="7">
        <item x="2"/>
        <item x="4"/>
        <item x="5"/>
        <item x="0"/>
        <item x="3"/>
        <item x="1"/>
        <item t="default"/>
      </items>
    </pivotField>
    <pivotField dataField="1" numFmtId="5" showAll="0"/>
  </pivotFields>
  <rowFields count="1">
    <field x="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a de Ventas" fld="3" baseField="0" baseItem="0" numFmtId="5"/>
  </dataField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3">
              <x v="0"/>
              <x v="1"/>
              <x v="2"/>
            </reference>
          </references>
        </pivotArea>
      </pivotAreas>
    </conditionalFormat>
  </conditionalFormat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Medium7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1" xr10:uid="{913FDAC1-9606-42D5-812C-749849F635A7}" sourceName="Producto">
  <pivotTables>
    <pivotTable tabId="2" name="TablaDinámica1"/>
    <pivotTable tabId="2" name="TablaDinámica3"/>
  </pivotTables>
  <data>
    <tabular pivotCacheId="281315180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1" xr10:uid="{57A5290F-B677-439F-8FE8-76894A8C5CA4}" sourceName="Region">
  <pivotTables>
    <pivotTable tabId="3" name="TablaDinámica2"/>
    <pivotTable tabId="3" name="TablaDinámica3"/>
    <pivotTable tabId="3" name="TablaDinámica4"/>
  </pivotTables>
  <data>
    <tabular pivotCacheId="88570379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2" xr10:uid="{CE4D1F86-60D8-409A-89EC-85BCD382E7B4}" sourceName="Producto">
  <pivotTables>
    <pivotTable tabId="3" name="TablaDinámica2"/>
    <pivotTable tabId="3" name="TablaDinámica3"/>
    <pivotTable tabId="3" name="TablaDinámica4"/>
  </pivotTables>
  <data>
    <tabular pivotCacheId="88570379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1" xr10:uid="{6A194A59-AA6E-49A7-A491-8566E0466ADD}" sourceName="Vendedor">
  <pivotTables>
    <pivotTable tabId="3" name="TablaDinámica2"/>
    <pivotTable tabId="3" name="TablaDinámica3"/>
    <pivotTable tabId="3" name="TablaDinámica4"/>
  </pivotTables>
  <data>
    <tabular pivotCacheId="88570379">
      <items count="6">
        <i x="2" s="1"/>
        <i x="4" s="1"/>
        <i x="5" s="1"/>
        <i x="0" s="1"/>
        <i x="3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13FD8D3D-5FE7-4208-BAF8-DF3E548FBA95}" sourceName="Region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A53E47BA-AC4D-4A2C-AD87-0FCF965256A6}" sourceName="Producto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88AD50BD-4000-4C6D-BE0D-37C027FF9BA7}" sourceName="Vendedor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69A489B1-2172-4062-89C2-8BB9FFA70F5F}" cache="SegmentaciónDeDatos_Region" caption="Region" rowHeight="241300"/>
  <slicer name="Producto" xr10:uid="{3CDC771B-8693-496F-910B-6AF4B06434A1}" cache="SegmentaciónDeDatos_Producto" caption="Producto" style="SlicerStyleLight6" rowHeight="241300"/>
  <slicer name="Vendedor" xr10:uid="{7271C3A1-0D4A-4A25-8866-99262AEC994D}" cache="SegmentaciónDeDatos_Vendedor" caption="Vendedor" columnCount="2" style="SlicerStyleLight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o 1" xr10:uid="{5571BE49-11E1-4968-9B31-D85A5BC109CA}" cache="SegmentaciónDeDatos_Producto1" caption="Producto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BC5B8523-7A7E-40F3-AF55-05780AEDAB32}" cache="SegmentaciónDeDatos_Region1" caption="Region" style="SlicerStyleLight6" rowHeight="241300"/>
  <slicer name="Producto 2" xr10:uid="{F2108258-4DBF-4BB7-B50B-D0E2045AE9D4}" cache="SegmentaciónDeDatos_Producto2" caption="Producto" startItem="1" style="SlicerStyleDark2" rowHeight="241300"/>
  <slicer name="Vendedor 1" xr10:uid="{9F27182E-B710-4AA8-9C44-422011BFDD7F}" cache="SegmentaciónDeDatos_Vendedor1" caption="Vendedor" style="SlicerStyleDark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57EA5C-ED58-431E-85F7-7345B413D410}" name="TablaVentas" displayName="TablaVentas" ref="A1:D20" totalsRowCount="1">
  <autoFilter ref="A1:D19" xr:uid="{3857EA5C-ED58-431E-85F7-7345B413D410}"/>
  <sortState xmlns:xlrd2="http://schemas.microsoft.com/office/spreadsheetml/2017/richdata2" ref="A2:D19">
    <sortCondition descending="1" ref="A1:A19"/>
  </sortState>
  <tableColumns count="4">
    <tableColumn id="1" xr3:uid="{B1C2860D-B144-4A00-9D99-A9FB2D3EF31F}" name="Region" totalsRowLabel="Total"/>
    <tableColumn id="2" xr3:uid="{463DD507-A9CA-4D74-AC1F-AF66856A2303}" name="Producto"/>
    <tableColumn id="3" xr3:uid="{AC0395BA-5E28-483A-80EF-A1DACF3B7DF6}" name="Vendedor"/>
    <tableColumn id="4" xr3:uid="{A5C84650-8201-4D68-AD82-79B7DB8DAF4C}" name="Ventas" totalsRowFunction="sum" dataDxfId="1" totalsRowDxfId="0"/>
  </tableColumns>
  <tableStyleInfo name="TableStyleMedium13" showFirstColumn="0" showLastColumn="1" showRowStripes="1" showColumnStripes="0"/>
</table>
</file>

<file path=xl/theme/theme1.xml><?xml version="1.0" encoding="utf-8"?>
<a:theme xmlns:a="http://schemas.openxmlformats.org/drawingml/2006/main" name="Berlín">
  <a:themeElements>
    <a:clrScheme name="Berlí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í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í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microsoft.com/office/2007/relationships/slicer" Target="../slicers/slicer3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zoomScale="97" workbookViewId="0">
      <selection activeCell="C9" sqref="C9"/>
    </sheetView>
  </sheetViews>
  <sheetFormatPr baseColWidth="10" defaultColWidth="8.6640625" defaultRowHeight="14.5" x14ac:dyDescent="0.35"/>
  <cols>
    <col min="1" max="1" width="8.4140625" customWidth="1"/>
    <col min="2" max="2" width="10.6640625" customWidth="1"/>
    <col min="3" max="3" width="10.75" customWidth="1"/>
    <col min="4" max="4" width="11" style="1" customWidth="1"/>
    <col min="5" max="5" width="6.5" customWidth="1"/>
  </cols>
  <sheetData>
    <row r="1" spans="1:4" x14ac:dyDescent="0.35">
      <c r="A1" t="s">
        <v>0</v>
      </c>
      <c r="B1" t="s">
        <v>1</v>
      </c>
      <c r="C1" t="s">
        <v>2</v>
      </c>
      <c r="D1" s="1" t="s">
        <v>3</v>
      </c>
    </row>
    <row r="2" spans="1:4" x14ac:dyDescent="0.35">
      <c r="A2" t="s">
        <v>13</v>
      </c>
      <c r="B2" t="s">
        <v>5</v>
      </c>
      <c r="C2" t="s">
        <v>14</v>
      </c>
      <c r="D2" s="2">
        <v>4744</v>
      </c>
    </row>
    <row r="3" spans="1:4" x14ac:dyDescent="0.35">
      <c r="A3" t="s">
        <v>13</v>
      </c>
      <c r="B3" t="s">
        <v>5</v>
      </c>
      <c r="C3" t="s">
        <v>15</v>
      </c>
      <c r="D3" s="2">
        <v>5442</v>
      </c>
    </row>
    <row r="4" spans="1:4" x14ac:dyDescent="0.35">
      <c r="A4" t="s">
        <v>13</v>
      </c>
      <c r="B4" t="s">
        <v>8</v>
      </c>
      <c r="C4" t="s">
        <v>14</v>
      </c>
      <c r="D4" s="2">
        <v>10711</v>
      </c>
    </row>
    <row r="5" spans="1:4" x14ac:dyDescent="0.35">
      <c r="A5" t="s">
        <v>13</v>
      </c>
      <c r="B5" t="s">
        <v>8</v>
      </c>
      <c r="C5" t="s">
        <v>15</v>
      </c>
      <c r="D5" s="2">
        <v>8780</v>
      </c>
    </row>
    <row r="6" spans="1:4" x14ac:dyDescent="0.35">
      <c r="A6" t="s">
        <v>13</v>
      </c>
      <c r="B6" t="s">
        <v>9</v>
      </c>
      <c r="C6" t="s">
        <v>14</v>
      </c>
      <c r="D6" s="2">
        <v>32855</v>
      </c>
    </row>
    <row r="7" spans="1:4" x14ac:dyDescent="0.35">
      <c r="A7" t="s">
        <v>13</v>
      </c>
      <c r="B7" t="s">
        <v>9</v>
      </c>
      <c r="C7" t="s">
        <v>15</v>
      </c>
      <c r="D7" s="2">
        <v>23151</v>
      </c>
    </row>
    <row r="8" spans="1:4" x14ac:dyDescent="0.35">
      <c r="A8" t="s">
        <v>10</v>
      </c>
      <c r="B8" t="s">
        <v>5</v>
      </c>
      <c r="C8" t="s">
        <v>11</v>
      </c>
      <c r="D8" s="2">
        <v>9323</v>
      </c>
    </row>
    <row r="9" spans="1:4" x14ac:dyDescent="0.35">
      <c r="A9" t="s">
        <v>10</v>
      </c>
      <c r="B9" t="s">
        <v>5</v>
      </c>
      <c r="C9" t="s">
        <v>12</v>
      </c>
      <c r="D9" s="2">
        <v>7667</v>
      </c>
    </row>
    <row r="10" spans="1:4" x14ac:dyDescent="0.35">
      <c r="A10" t="s">
        <v>10</v>
      </c>
      <c r="B10" t="s">
        <v>8</v>
      </c>
      <c r="C10" t="s">
        <v>11</v>
      </c>
      <c r="D10" s="2">
        <v>10348</v>
      </c>
    </row>
    <row r="11" spans="1:4" x14ac:dyDescent="0.35">
      <c r="A11" t="s">
        <v>10</v>
      </c>
      <c r="B11" t="s">
        <v>8</v>
      </c>
      <c r="C11" t="s">
        <v>12</v>
      </c>
      <c r="D11" s="2">
        <v>9312</v>
      </c>
    </row>
    <row r="12" spans="1:4" x14ac:dyDescent="0.35">
      <c r="A12" t="s">
        <v>10</v>
      </c>
      <c r="B12" t="s">
        <v>9</v>
      </c>
      <c r="C12" t="s">
        <v>11</v>
      </c>
      <c r="D12" s="2">
        <v>13531</v>
      </c>
    </row>
    <row r="13" spans="1:4" x14ac:dyDescent="0.35">
      <c r="A13" t="s">
        <v>10</v>
      </c>
      <c r="B13" t="s">
        <v>9</v>
      </c>
      <c r="C13" t="s">
        <v>12</v>
      </c>
      <c r="D13" s="2">
        <v>13374</v>
      </c>
    </row>
    <row r="14" spans="1:4" x14ac:dyDescent="0.35">
      <c r="A14" t="s">
        <v>4</v>
      </c>
      <c r="B14" t="s">
        <v>5</v>
      </c>
      <c r="C14" t="s">
        <v>6</v>
      </c>
      <c r="D14" s="2">
        <v>8287</v>
      </c>
    </row>
    <row r="15" spans="1:4" x14ac:dyDescent="0.35">
      <c r="A15" t="s">
        <v>4</v>
      </c>
      <c r="B15" t="s">
        <v>5</v>
      </c>
      <c r="C15" t="s">
        <v>7</v>
      </c>
      <c r="D15" s="2">
        <v>6909</v>
      </c>
    </row>
    <row r="16" spans="1:4" x14ac:dyDescent="0.35">
      <c r="A16" t="s">
        <v>4</v>
      </c>
      <c r="B16" t="s">
        <v>8</v>
      </c>
      <c r="C16" t="s">
        <v>6</v>
      </c>
      <c r="D16" s="2">
        <v>11420</v>
      </c>
    </row>
    <row r="17" spans="1:4" x14ac:dyDescent="0.35">
      <c r="A17" t="s">
        <v>4</v>
      </c>
      <c r="B17" t="s">
        <v>8</v>
      </c>
      <c r="C17" t="s">
        <v>7</v>
      </c>
      <c r="D17" s="2">
        <v>12948</v>
      </c>
    </row>
    <row r="18" spans="1:4" x14ac:dyDescent="0.35">
      <c r="A18" t="s">
        <v>4</v>
      </c>
      <c r="B18" t="s">
        <v>9</v>
      </c>
      <c r="C18" t="s">
        <v>6</v>
      </c>
      <c r="D18" s="2">
        <v>20098</v>
      </c>
    </row>
    <row r="19" spans="1:4" x14ac:dyDescent="0.35">
      <c r="A19" t="s">
        <v>4</v>
      </c>
      <c r="B19" t="s">
        <v>9</v>
      </c>
      <c r="C19" t="s">
        <v>7</v>
      </c>
      <c r="D19" s="2">
        <v>30633</v>
      </c>
    </row>
    <row r="20" spans="1:4" x14ac:dyDescent="0.35">
      <c r="A20" t="s">
        <v>16</v>
      </c>
      <c r="D20" s="3">
        <f>SUBTOTAL(109,TablaVentas[Ventas])</f>
        <v>239533</v>
      </c>
    </row>
  </sheetData>
  <phoneticPr fontId="1" type="noConversion"/>
  <conditionalFormatting sqref="D2:D1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{D6CD6435-03ED-4769-9323-745CA04C8FE9}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CD6435-03ED-4769-9323-745CA04C8F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D2:D19</xm:sqref>
        </x14:conditionalFormatting>
      </x14:conditionalFormatting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A2DB-5153-4F65-93CA-B4C7F604CAA6}">
  <dimension ref="A1:J29"/>
  <sheetViews>
    <sheetView topLeftCell="C1" zoomScale="78" workbookViewId="0">
      <selection activeCell="G1" sqref="G1"/>
    </sheetView>
  </sheetViews>
  <sheetFormatPr baseColWidth="10" defaultRowHeight="14.5" x14ac:dyDescent="0.35"/>
  <cols>
    <col min="1" max="1" width="17.5" bestFit="1" customWidth="1"/>
    <col min="2" max="2" width="9.58203125" bestFit="1" customWidth="1"/>
    <col min="3" max="3" width="10.6640625" customWidth="1"/>
    <col min="4" max="4" width="8.75" customWidth="1"/>
    <col min="5" max="5" width="11.6640625" customWidth="1"/>
    <col min="6" max="6" width="17.5" bestFit="1" customWidth="1"/>
    <col min="7" max="7" width="22.1640625" bestFit="1" customWidth="1"/>
    <col min="8" max="8" width="10.9140625" bestFit="1" customWidth="1"/>
    <col min="9" max="9" width="9.1640625" bestFit="1" customWidth="1"/>
    <col min="10" max="10" width="12.25" bestFit="1" customWidth="1"/>
  </cols>
  <sheetData>
    <row r="1" spans="1:10" x14ac:dyDescent="0.35">
      <c r="A1" s="4" t="s">
        <v>17</v>
      </c>
      <c r="B1" t="s">
        <v>19</v>
      </c>
      <c r="F1" s="4" t="s">
        <v>19</v>
      </c>
      <c r="G1" s="4" t="s">
        <v>21</v>
      </c>
    </row>
    <row r="2" spans="1:10" x14ac:dyDescent="0.35">
      <c r="A2" s="5" t="s">
        <v>4</v>
      </c>
      <c r="B2" s="2">
        <v>90295</v>
      </c>
      <c r="F2" s="4" t="s">
        <v>17</v>
      </c>
      <c r="G2" t="s">
        <v>5</v>
      </c>
      <c r="H2" t="s">
        <v>8</v>
      </c>
      <c r="I2" t="s">
        <v>9</v>
      </c>
      <c r="J2" t="s">
        <v>18</v>
      </c>
    </row>
    <row r="3" spans="1:10" x14ac:dyDescent="0.35">
      <c r="A3" s="6" t="s">
        <v>6</v>
      </c>
      <c r="B3" s="2">
        <v>39805</v>
      </c>
      <c r="F3" s="5" t="s">
        <v>4</v>
      </c>
      <c r="G3" s="2">
        <v>15196</v>
      </c>
      <c r="H3" s="2">
        <v>24368</v>
      </c>
      <c r="I3" s="2">
        <v>50731</v>
      </c>
      <c r="J3" s="2">
        <v>90295</v>
      </c>
    </row>
    <row r="4" spans="1:10" x14ac:dyDescent="0.35">
      <c r="A4" s="7" t="s">
        <v>5</v>
      </c>
      <c r="B4" s="2">
        <v>8287</v>
      </c>
      <c r="F4" s="6" t="s">
        <v>6</v>
      </c>
      <c r="G4" s="2">
        <v>8287</v>
      </c>
      <c r="H4" s="2">
        <v>11420</v>
      </c>
      <c r="I4" s="2">
        <v>20098</v>
      </c>
      <c r="J4" s="2">
        <v>39805</v>
      </c>
    </row>
    <row r="5" spans="1:10" x14ac:dyDescent="0.35">
      <c r="A5" s="7" t="s">
        <v>8</v>
      </c>
      <c r="B5" s="2">
        <v>11420</v>
      </c>
      <c r="F5" s="6" t="s">
        <v>7</v>
      </c>
      <c r="G5" s="2">
        <v>6909</v>
      </c>
      <c r="H5" s="2">
        <v>12948</v>
      </c>
      <c r="I5" s="2">
        <v>30633</v>
      </c>
      <c r="J5" s="2">
        <v>50490</v>
      </c>
    </row>
    <row r="6" spans="1:10" x14ac:dyDescent="0.35">
      <c r="A6" s="7" t="s">
        <v>9</v>
      </c>
      <c r="B6" s="2">
        <v>20098</v>
      </c>
      <c r="F6" s="5" t="s">
        <v>10</v>
      </c>
      <c r="G6" s="2">
        <v>16990</v>
      </c>
      <c r="H6" s="2">
        <v>19660</v>
      </c>
      <c r="I6" s="2">
        <v>26905</v>
      </c>
      <c r="J6" s="2">
        <v>63555</v>
      </c>
    </row>
    <row r="7" spans="1:10" x14ac:dyDescent="0.35">
      <c r="A7" s="6" t="s">
        <v>7</v>
      </c>
      <c r="B7" s="2">
        <v>50490</v>
      </c>
      <c r="F7" s="6" t="s">
        <v>11</v>
      </c>
      <c r="G7" s="2">
        <v>9323</v>
      </c>
      <c r="H7" s="2">
        <v>10348</v>
      </c>
      <c r="I7" s="2">
        <v>13531</v>
      </c>
      <c r="J7" s="2">
        <v>33202</v>
      </c>
    </row>
    <row r="8" spans="1:10" x14ac:dyDescent="0.35">
      <c r="A8" s="7" t="s">
        <v>5</v>
      </c>
      <c r="B8" s="2">
        <v>6909</v>
      </c>
      <c r="F8" s="6" t="s">
        <v>12</v>
      </c>
      <c r="G8" s="2">
        <v>7667</v>
      </c>
      <c r="H8" s="2">
        <v>9312</v>
      </c>
      <c r="I8" s="2">
        <v>13374</v>
      </c>
      <c r="J8" s="2">
        <v>30353</v>
      </c>
    </row>
    <row r="9" spans="1:10" x14ac:dyDescent="0.35">
      <c r="A9" s="7" t="s">
        <v>8</v>
      </c>
      <c r="B9" s="2">
        <v>12948</v>
      </c>
      <c r="F9" s="5" t="s">
        <v>13</v>
      </c>
      <c r="G9" s="2">
        <v>10186</v>
      </c>
      <c r="H9" s="2">
        <v>19491</v>
      </c>
      <c r="I9" s="2">
        <v>56006</v>
      </c>
      <c r="J9" s="2">
        <v>85683</v>
      </c>
    </row>
    <row r="10" spans="1:10" x14ac:dyDescent="0.35">
      <c r="A10" s="7" t="s">
        <v>9</v>
      </c>
      <c r="B10" s="2">
        <v>30633</v>
      </c>
      <c r="F10" s="6" t="s">
        <v>14</v>
      </c>
      <c r="G10" s="2">
        <v>4744</v>
      </c>
      <c r="H10" s="2">
        <v>10711</v>
      </c>
      <c r="I10" s="2">
        <v>32855</v>
      </c>
      <c r="J10" s="2">
        <v>48310</v>
      </c>
    </row>
    <row r="11" spans="1:10" x14ac:dyDescent="0.35">
      <c r="A11" s="5" t="s">
        <v>10</v>
      </c>
      <c r="B11" s="2">
        <v>63555</v>
      </c>
      <c r="F11" s="6" t="s">
        <v>15</v>
      </c>
      <c r="G11" s="2">
        <v>5442</v>
      </c>
      <c r="H11" s="2">
        <v>8780</v>
      </c>
      <c r="I11" s="2">
        <v>23151</v>
      </c>
      <c r="J11" s="2">
        <v>37373</v>
      </c>
    </row>
    <row r="12" spans="1:10" x14ac:dyDescent="0.35">
      <c r="A12" s="6" t="s">
        <v>11</v>
      </c>
      <c r="B12" s="2">
        <v>33202</v>
      </c>
      <c r="F12" s="5" t="s">
        <v>18</v>
      </c>
      <c r="G12" s="2">
        <v>42372</v>
      </c>
      <c r="H12" s="2">
        <v>63519</v>
      </c>
      <c r="I12" s="2">
        <v>133642</v>
      </c>
      <c r="J12" s="2">
        <v>239533</v>
      </c>
    </row>
    <row r="13" spans="1:10" x14ac:dyDescent="0.35">
      <c r="A13" s="7" t="s">
        <v>5</v>
      </c>
      <c r="B13" s="2">
        <v>9323</v>
      </c>
    </row>
    <row r="14" spans="1:10" x14ac:dyDescent="0.35">
      <c r="A14" s="7" t="s">
        <v>8</v>
      </c>
      <c r="B14" s="2">
        <v>10348</v>
      </c>
    </row>
    <row r="15" spans="1:10" x14ac:dyDescent="0.35">
      <c r="A15" s="7" t="s">
        <v>9</v>
      </c>
      <c r="B15" s="2">
        <v>13531</v>
      </c>
    </row>
    <row r="16" spans="1:10" x14ac:dyDescent="0.35">
      <c r="A16" s="6" t="s">
        <v>12</v>
      </c>
      <c r="B16" s="2">
        <v>30353</v>
      </c>
    </row>
    <row r="17" spans="1:2" x14ac:dyDescent="0.35">
      <c r="A17" s="7" t="s">
        <v>5</v>
      </c>
      <c r="B17" s="2">
        <v>7667</v>
      </c>
    </row>
    <row r="18" spans="1:2" x14ac:dyDescent="0.35">
      <c r="A18" s="7" t="s">
        <v>8</v>
      </c>
      <c r="B18" s="2">
        <v>9312</v>
      </c>
    </row>
    <row r="19" spans="1:2" x14ac:dyDescent="0.35">
      <c r="A19" s="7" t="s">
        <v>9</v>
      </c>
      <c r="B19" s="2">
        <v>13374</v>
      </c>
    </row>
    <row r="20" spans="1:2" x14ac:dyDescent="0.35">
      <c r="A20" s="5" t="s">
        <v>13</v>
      </c>
      <c r="B20" s="2">
        <v>85683</v>
      </c>
    </row>
    <row r="21" spans="1:2" x14ac:dyDescent="0.35">
      <c r="A21" s="6" t="s">
        <v>14</v>
      </c>
      <c r="B21" s="2">
        <v>48310</v>
      </c>
    </row>
    <row r="22" spans="1:2" x14ac:dyDescent="0.35">
      <c r="A22" s="7" t="s">
        <v>5</v>
      </c>
      <c r="B22" s="2">
        <v>4744</v>
      </c>
    </row>
    <row r="23" spans="1:2" x14ac:dyDescent="0.35">
      <c r="A23" s="7" t="s">
        <v>8</v>
      </c>
      <c r="B23" s="2">
        <v>10711</v>
      </c>
    </row>
    <row r="24" spans="1:2" x14ac:dyDescent="0.35">
      <c r="A24" s="7" t="s">
        <v>9</v>
      </c>
      <c r="B24" s="2">
        <v>32855</v>
      </c>
    </row>
    <row r="25" spans="1:2" x14ac:dyDescent="0.35">
      <c r="A25" s="6" t="s">
        <v>15</v>
      </c>
      <c r="B25" s="2">
        <v>37373</v>
      </c>
    </row>
    <row r="26" spans="1:2" x14ac:dyDescent="0.35">
      <c r="A26" s="7" t="s">
        <v>5</v>
      </c>
      <c r="B26" s="2">
        <v>5442</v>
      </c>
    </row>
    <row r="27" spans="1:2" x14ac:dyDescent="0.35">
      <c r="A27" s="7" t="s">
        <v>8</v>
      </c>
      <c r="B27" s="2">
        <v>8780</v>
      </c>
    </row>
    <row r="28" spans="1:2" x14ac:dyDescent="0.35">
      <c r="A28" s="7" t="s">
        <v>9</v>
      </c>
      <c r="B28" s="2">
        <v>23151</v>
      </c>
    </row>
    <row r="29" spans="1:2" x14ac:dyDescent="0.35">
      <c r="A29" s="5" t="s">
        <v>18</v>
      </c>
      <c r="B29" s="2">
        <v>239533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A12B-2522-440B-B5B9-40EFD11E0845}">
  <dimension ref="A2:N24"/>
  <sheetViews>
    <sheetView tabSelected="1" workbookViewId="0">
      <selection activeCell="A4" sqref="A4"/>
    </sheetView>
  </sheetViews>
  <sheetFormatPr baseColWidth="10" defaultRowHeight="14.5" x14ac:dyDescent="0.35"/>
  <cols>
    <col min="1" max="1" width="12.25" bestFit="1" customWidth="1"/>
    <col min="2" max="2" width="13.9140625" bestFit="1" customWidth="1"/>
    <col min="3" max="3" width="4.6640625" customWidth="1"/>
    <col min="4" max="4" width="10.6640625" customWidth="1"/>
    <col min="6" max="6" width="10.4140625" customWidth="1"/>
    <col min="7" max="7" width="6.83203125" customWidth="1"/>
    <col min="8" max="8" width="3.08203125" customWidth="1"/>
    <col min="10" max="10" width="12.5" customWidth="1"/>
    <col min="12" max="12" width="3.9140625" customWidth="1"/>
  </cols>
  <sheetData>
    <row r="2" spans="1:14" x14ac:dyDescent="0.35">
      <c r="A2" s="8" t="s">
        <v>23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5" spans="1:14" x14ac:dyDescent="0.35">
      <c r="A5" s="4" t="s">
        <v>22</v>
      </c>
      <c r="B5" t="s">
        <v>20</v>
      </c>
    </row>
    <row r="6" spans="1:14" x14ac:dyDescent="0.35">
      <c r="A6" s="5" t="s">
        <v>4</v>
      </c>
      <c r="B6" s="2">
        <v>90295</v>
      </c>
    </row>
    <row r="7" spans="1:14" x14ac:dyDescent="0.35">
      <c r="A7" s="5" t="s">
        <v>13</v>
      </c>
      <c r="B7" s="2">
        <v>85683</v>
      </c>
    </row>
    <row r="8" spans="1:14" x14ac:dyDescent="0.35">
      <c r="A8" s="5" t="s">
        <v>10</v>
      </c>
      <c r="B8" s="2">
        <v>63555</v>
      </c>
    </row>
    <row r="9" spans="1:14" x14ac:dyDescent="0.35">
      <c r="A9" s="5" t="s">
        <v>18</v>
      </c>
      <c r="B9" s="2">
        <v>239533</v>
      </c>
    </row>
    <row r="11" spans="1:14" x14ac:dyDescent="0.35">
      <c r="A11" s="4" t="s">
        <v>1</v>
      </c>
      <c r="B11" t="s">
        <v>20</v>
      </c>
    </row>
    <row r="12" spans="1:14" x14ac:dyDescent="0.35">
      <c r="A12" s="5" t="s">
        <v>9</v>
      </c>
      <c r="B12" s="2">
        <v>133642</v>
      </c>
    </row>
    <row r="13" spans="1:14" x14ac:dyDescent="0.35">
      <c r="A13" s="5" t="s">
        <v>8</v>
      </c>
      <c r="B13" s="2">
        <v>63519</v>
      </c>
    </row>
    <row r="14" spans="1:14" x14ac:dyDescent="0.35">
      <c r="A14" s="5" t="s">
        <v>5</v>
      </c>
      <c r="B14" s="2">
        <v>42372</v>
      </c>
    </row>
    <row r="15" spans="1:14" x14ac:dyDescent="0.35">
      <c r="A15" s="5" t="s">
        <v>18</v>
      </c>
      <c r="B15" s="2">
        <v>239533</v>
      </c>
    </row>
    <row r="17" spans="1:2" x14ac:dyDescent="0.35">
      <c r="A17" s="4" t="s">
        <v>2</v>
      </c>
      <c r="B17" t="s">
        <v>20</v>
      </c>
    </row>
    <row r="18" spans="1:2" x14ac:dyDescent="0.35">
      <c r="A18" s="5" t="s">
        <v>7</v>
      </c>
      <c r="B18" s="2">
        <v>50490</v>
      </c>
    </row>
    <row r="19" spans="1:2" x14ac:dyDescent="0.35">
      <c r="A19" s="5" t="s">
        <v>14</v>
      </c>
      <c r="B19" s="2">
        <v>48310</v>
      </c>
    </row>
    <row r="20" spans="1:2" x14ac:dyDescent="0.35">
      <c r="A20" s="5" t="s">
        <v>6</v>
      </c>
      <c r="B20" s="2">
        <v>39805</v>
      </c>
    </row>
    <row r="21" spans="1:2" x14ac:dyDescent="0.35">
      <c r="A21" s="5" t="s">
        <v>15</v>
      </c>
      <c r="B21" s="2">
        <v>37373</v>
      </c>
    </row>
    <row r="22" spans="1:2" x14ac:dyDescent="0.35">
      <c r="A22" s="5" t="s">
        <v>11</v>
      </c>
      <c r="B22" s="2">
        <v>33202</v>
      </c>
    </row>
    <row r="23" spans="1:2" x14ac:dyDescent="0.35">
      <c r="A23" s="5" t="s">
        <v>12</v>
      </c>
      <c r="B23" s="2">
        <v>30353</v>
      </c>
    </row>
    <row r="24" spans="1:2" x14ac:dyDescent="0.35">
      <c r="A24" s="5" t="s">
        <v>18</v>
      </c>
      <c r="B24" s="2">
        <v>239533</v>
      </c>
    </row>
  </sheetData>
  <mergeCells count="1">
    <mergeCell ref="A2:N3"/>
  </mergeCells>
  <conditionalFormatting pivot="1" sqref="B6:B8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{FFDF7086-B4D9-4F47-B2E1-E5439BED0529}</x14:id>
        </ext>
      </extLst>
    </cfRule>
  </conditionalFormatting>
  <conditionalFormatting pivot="1" sqref="B12:B14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{A29685F5-E7F2-4787-AC20-800485FB5CC6}</x14:id>
        </ext>
      </extLst>
    </cfRule>
  </conditionalFormatting>
  <conditionalFormatting pivot="1" sqref="B18:B2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{A5C7C457-38D9-4957-8C0C-41574050DD84}</x14:id>
        </ext>
      </extLst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FDF7086-B4D9-4F47-B2E1-E5439BED05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B6:B8</xm:sqref>
        </x14:conditionalFormatting>
        <x14:conditionalFormatting xmlns:xm="http://schemas.microsoft.com/office/excel/2006/main" pivot="1">
          <x14:cfRule type="dataBar" id="{A29685F5-E7F2-4787-AC20-800485FB5CC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B12:B14</xm:sqref>
        </x14:conditionalFormatting>
        <x14:conditionalFormatting xmlns:xm="http://schemas.microsoft.com/office/excel/2006/main" pivot="1">
          <x14:cfRule type="dataBar" id="{A5C7C457-38D9-4957-8C0C-41574050DD8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B18:B23</xm:sqref>
        </x14:conditionalFormatting>
      </x14:conditionalFormattings>
    </ex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- Ventas</vt:lpstr>
      <vt:lpstr>TD - Ventas</vt:lpstr>
      <vt:lpstr>Informe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Ventas</dc:title>
  <dc:subject/>
  <dc:creator>Javier Gomez</dc:creator>
  <cp:keywords>datdata.com.mx</cp:keywords>
  <dc:description/>
  <cp:lastModifiedBy>GARCIA DOMINGUEZ XIMENA</cp:lastModifiedBy>
  <cp:revision/>
  <dcterms:created xsi:type="dcterms:W3CDTF">2019-07-13T22:11:28Z</dcterms:created>
  <dcterms:modified xsi:type="dcterms:W3CDTF">2025-12-17T16:47:07Z</dcterms:modified>
  <cp:category/>
  <cp:contentStatus/>
</cp:coreProperties>
</file>